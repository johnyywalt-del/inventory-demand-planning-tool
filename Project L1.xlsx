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bad\Desktop\"/>
    </mc:Choice>
  </mc:AlternateContent>
  <xr:revisionPtr revIDLastSave="0" documentId="8_{0C559ADF-D0FD-4C65-96B2-CC932FE411B7}" xr6:coauthVersionLast="36" xr6:coauthVersionMax="36" xr10:uidLastSave="{00000000-0000-0000-0000-000000000000}"/>
  <bookViews>
    <workbookView xWindow="0" yWindow="0" windowWidth="24720" windowHeight="12105" activeTab="2" xr2:uid="{8FC9BCDD-3AA7-461F-97B3-383BC39D17B3}"/>
  </bookViews>
  <sheets>
    <sheet name="Arkusz3" sheetId="3" r:id="rId1"/>
    <sheet name="Arkusz4" sheetId="4" r:id="rId2"/>
    <sheet name="Arkusz5" sheetId="5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7" i="5" l="1"/>
  <c r="B15" i="5"/>
  <c r="B13" i="5"/>
  <c r="B9" i="5"/>
  <c r="B6" i="5"/>
  <c r="B1" i="5"/>
  <c r="D13" i="4"/>
  <c r="F13" i="4" s="1"/>
  <c r="J1" i="4"/>
  <c r="C14" i="4"/>
  <c r="C15" i="4"/>
  <c r="D18" i="4" s="1"/>
  <c r="F18" i="4" s="1"/>
  <c r="C16" i="4"/>
  <c r="C17" i="4"/>
  <c r="C18" i="4"/>
  <c r="C13" i="4"/>
  <c r="E18" i="4" l="1"/>
  <c r="G18" i="4" s="1"/>
  <c r="D16" i="4"/>
  <c r="E13" i="4"/>
  <c r="G13" i="4" s="1"/>
  <c r="F16" i="4"/>
  <c r="E16" i="4"/>
  <c r="G16" i="4" s="1"/>
  <c r="D17" i="4"/>
  <c r="F17" i="4" s="1"/>
  <c r="D15" i="4"/>
  <c r="F15" i="4" s="1"/>
  <c r="D14" i="4"/>
  <c r="F14" i="4" s="1"/>
  <c r="C5" i="4" l="1"/>
  <c r="E15" i="4"/>
  <c r="G15" i="4" s="1"/>
  <c r="E14" i="4"/>
  <c r="G14" i="4" s="1"/>
  <c r="C6" i="4" s="1"/>
  <c r="E17" i="4"/>
  <c r="G17" i="4" s="1"/>
</calcChain>
</file>

<file path=xl/sharedStrings.xml><?xml version="1.0" encoding="utf-8"?>
<sst xmlns="http://schemas.openxmlformats.org/spreadsheetml/2006/main" count="20" uniqueCount="20">
  <si>
    <t>termin</t>
  </si>
  <si>
    <t xml:space="preserve">Prognoza </t>
  </si>
  <si>
    <t>alpha</t>
  </si>
  <si>
    <t>prognoza (moving avareage)</t>
  </si>
  <si>
    <t>prognoza exponential smoothing)</t>
  </si>
  <si>
    <t>MAD (moving average)</t>
  </si>
  <si>
    <t>MAD (exponential smoothing)</t>
  </si>
  <si>
    <t>różnica (ES)</t>
  </si>
  <si>
    <t>różnica (MA)</t>
  </si>
  <si>
    <t>lepszy</t>
  </si>
  <si>
    <t>roczny popyt (D)</t>
  </si>
  <si>
    <t>koszt złożenia jedego zamówienia (S)</t>
  </si>
  <si>
    <t>roczny koszt utrymania jednej sztuki w magazynie (H)</t>
  </si>
  <si>
    <t>EOQ Economic Order Quantity</t>
  </si>
  <si>
    <t>dzienna sprzedaż - (d)</t>
  </si>
  <si>
    <t>czas dostawy w dniach od zamówienia u producenta lead time - (L)</t>
  </si>
  <si>
    <t xml:space="preserve">ROP reorder point </t>
  </si>
  <si>
    <t>maksymalna dzienna sprzedaż w okreśe szczytowym (d_max)</t>
  </si>
  <si>
    <t>Safety shock (SS)</t>
  </si>
  <si>
    <t>ilość torebek luksusowych sprzedaż miesięczna w stk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</si>
</sst>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7" fontId="0" fillId="0" borderId="0" xfId="0" applyNumberFormat="1"/>
    <xf numFmtId="3" fontId="0" fillId="0" borderId="0" xfId="0" applyNumberFormat="1"/>
    <xf numFmtId="3" fontId="0" fillId="0" borderId="0" xfId="0" applyNumberFormat="1" applyAlignment="1"/>
    <xf numFmtId="4" fontId="0" fillId="0" borderId="0" xfId="0" applyNumberFormat="1"/>
    <xf numFmtId="0" fontId="0" fillId="2" borderId="0" xfId="0" applyFill="1"/>
    <xf numFmtId="3" fontId="0" fillId="2" borderId="0" xfId="0" applyNumberForma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7271539074753559"/>
          <c:y val="2.8243194651785097E-2"/>
          <c:w val="0.7358381075473831"/>
          <c:h val="0.88606672169774248"/>
        </c:manualLayout>
      </c:layout>
      <c:scatterChart>
        <c:scatterStyle val="lineMarker"/>
        <c:varyColors val="0"/>
        <c:ser>
          <c:idx val="1"/>
          <c:order val="0"/>
          <c:tx>
            <c:v>rzeczywiste dane</c:v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Arkusz4!$B$13:$B$18</c:f>
              <c:numCache>
                <c:formatCode>mmm\-yy</c:formatCode>
                <c:ptCount val="6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</c:numCache>
            </c:numRef>
          </c:xVal>
          <c:yVal>
            <c:numRef>
              <c:f>Arkusz4!$C$13:$C$18</c:f>
              <c:numCache>
                <c:formatCode>#,##0</c:formatCode>
                <c:ptCount val="6"/>
                <c:pt idx="0">
                  <c:v>590000</c:v>
                </c:pt>
                <c:pt idx="1">
                  <c:v>591000</c:v>
                </c:pt>
                <c:pt idx="2">
                  <c:v>592000</c:v>
                </c:pt>
                <c:pt idx="3">
                  <c:v>593000</c:v>
                </c:pt>
                <c:pt idx="4">
                  <c:v>594000</c:v>
                </c:pt>
                <c:pt idx="5">
                  <c:v>595000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2C0-4FF6-8A01-04D030B92AB0}"/>
            </c:ext>
          </c:extLst>
        </c:ser>
        <c:ser>
          <c:idx val="0"/>
          <c:order val="1"/>
          <c:tx>
            <c:v>prognoza ES</c:v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Arkusz4!$B$13:$B$18</c:f>
              <c:numCache>
                <c:formatCode>mmm\-yy</c:formatCode>
                <c:ptCount val="6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</c:numCache>
            </c:numRef>
          </c:xVal>
          <c:yVal>
            <c:numRef>
              <c:f>Arkusz4!$E$13:$E$18</c:f>
              <c:numCache>
                <c:formatCode>#,##0</c:formatCode>
                <c:ptCount val="6"/>
                <c:pt idx="0">
                  <c:v>621066.66666666674</c:v>
                </c:pt>
                <c:pt idx="1">
                  <c:v>617533.33333333337</c:v>
                </c:pt>
                <c:pt idx="2">
                  <c:v>611466.66666666663</c:v>
                </c:pt>
                <c:pt idx="3">
                  <c:v>592200</c:v>
                </c:pt>
                <c:pt idx="4">
                  <c:v>593200</c:v>
                </c:pt>
                <c:pt idx="5">
                  <c:v>594200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2C0-4FF6-8A01-04D030B92A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435456"/>
        <c:axId val="269398864"/>
      </c:scatterChart>
      <c:valAx>
        <c:axId val="185435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69398864"/>
        <c:crosses val="autoZero"/>
        <c:crossBetween val="midCat"/>
      </c:valAx>
      <c:valAx>
        <c:axId val="269398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54354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247649</xdr:colOff>
      <xdr:row>0</xdr:row>
      <xdr:rowOff>400050</xdr:rowOff>
    </xdr:from>
    <xdr:to>
      <xdr:col>12</xdr:col>
      <xdr:colOff>590550</xdr:colOff>
      <xdr:row>17</xdr:row>
      <xdr:rowOff>33337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4CB0495E-FB40-495F-965B-04D403EFDE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168AA-ED06-434E-BA93-B634CC3B330D}">
  <dimension ref="A1:B7"/>
  <sheetViews>
    <sheetView workbookViewId="0">
      <selection activeCell="B1" sqref="B1"/>
    </sheetView>
  </sheetViews>
  <sheetFormatPr defaultRowHeight="15" x14ac:dyDescent="0.25"/>
  <sheetData>
    <row r="1" spans="1:2" x14ac:dyDescent="0.25">
      <c r="A1" t="s">
        <v>0</v>
      </c>
      <c r="B1" t="s">
        <v>19</v>
      </c>
    </row>
    <row r="2" spans="1:2" x14ac:dyDescent="0.25">
      <c r="A2" s="1">
        <v>46023</v>
      </c>
      <c r="B2" s="2">
        <v>590000</v>
      </c>
    </row>
    <row r="3" spans="1:2" x14ac:dyDescent="0.25">
      <c r="A3" s="1">
        <v>46054</v>
      </c>
      <c r="B3" s="2">
        <v>591000</v>
      </c>
    </row>
    <row r="4" spans="1:2" x14ac:dyDescent="0.25">
      <c r="A4" s="1">
        <v>46082</v>
      </c>
      <c r="B4" s="2">
        <v>592000</v>
      </c>
    </row>
    <row r="5" spans="1:2" x14ac:dyDescent="0.25">
      <c r="A5" s="1">
        <v>46113</v>
      </c>
      <c r="B5" s="2">
        <v>593000</v>
      </c>
    </row>
    <row r="6" spans="1:2" x14ac:dyDescent="0.25">
      <c r="A6" s="1">
        <v>46143</v>
      </c>
      <c r="B6" s="2">
        <v>594000</v>
      </c>
    </row>
    <row r="7" spans="1:2" x14ac:dyDescent="0.25">
      <c r="A7" s="1">
        <v>46174</v>
      </c>
      <c r="B7" s="2">
        <v>595000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9658E-2DCF-4855-BFAA-98FCA8A3ACDC}">
  <dimension ref="B1:J18"/>
  <sheetViews>
    <sheetView workbookViewId="0">
      <selection activeCell="C13" sqref="C13"/>
    </sheetView>
  </sheetViews>
  <sheetFormatPr defaultRowHeight="15" x14ac:dyDescent="0.25"/>
  <cols>
    <col min="2" max="3" width="10.140625" customWidth="1"/>
    <col min="4" max="4" width="26.5703125" customWidth="1"/>
    <col min="5" max="5" width="29.7109375" customWidth="1"/>
    <col min="6" max="6" width="14.85546875" customWidth="1"/>
    <col min="7" max="7" width="11.5703125" customWidth="1"/>
    <col min="10" max="10" width="10" bestFit="1" customWidth="1"/>
  </cols>
  <sheetData>
    <row r="1" spans="2:10" x14ac:dyDescent="0.25">
      <c r="J1" t="str">
        <f>Arkusz3!B1</f>
        <v>ilość torebek luksusowych sprzedaż miesięczna w stk</v>
      </c>
    </row>
    <row r="2" spans="2:10" x14ac:dyDescent="0.25">
      <c r="B2" t="s">
        <v>1</v>
      </c>
      <c r="E2" t="s">
        <v>2</v>
      </c>
      <c r="F2">
        <v>0.6</v>
      </c>
      <c r="I2" s="1">
        <v>45931</v>
      </c>
      <c r="J2" s="2">
        <v>621000</v>
      </c>
    </row>
    <row r="3" spans="2:10" x14ac:dyDescent="0.25">
      <c r="C3" s="2"/>
      <c r="I3" s="1">
        <v>45962</v>
      </c>
      <c r="J3" s="2">
        <v>641000</v>
      </c>
    </row>
    <row r="4" spans="2:10" x14ac:dyDescent="0.25">
      <c r="I4" s="1">
        <v>45992</v>
      </c>
      <c r="J4" s="2">
        <v>741000</v>
      </c>
    </row>
    <row r="5" spans="2:10" x14ac:dyDescent="0.25">
      <c r="B5" t="s">
        <v>5</v>
      </c>
      <c r="C5" s="2">
        <f>AVERAGE(F13:F18)</f>
        <v>33111.111111111102</v>
      </c>
    </row>
    <row r="6" spans="2:10" x14ac:dyDescent="0.25">
      <c r="B6" s="5" t="s">
        <v>6</v>
      </c>
      <c r="C6" s="6">
        <f>AVERAGE(G13:G18)</f>
        <v>13244.444444444458</v>
      </c>
      <c r="D6" t="s">
        <v>9</v>
      </c>
    </row>
    <row r="7" spans="2:10" x14ac:dyDescent="0.25">
      <c r="C7" s="2"/>
    </row>
    <row r="8" spans="2:10" x14ac:dyDescent="0.25">
      <c r="C8" s="2"/>
    </row>
    <row r="12" spans="2:10" x14ac:dyDescent="0.25">
      <c r="D12" t="s">
        <v>3</v>
      </c>
      <c r="E12" t="s">
        <v>4</v>
      </c>
      <c r="F12" t="s">
        <v>8</v>
      </c>
      <c r="G12" t="s">
        <v>7</v>
      </c>
    </row>
    <row r="13" spans="2:10" x14ac:dyDescent="0.25">
      <c r="B13" s="1">
        <v>46023</v>
      </c>
      <c r="C13" s="2">
        <f>Arkusz3!B2</f>
        <v>590000</v>
      </c>
      <c r="D13" s="3">
        <f>AVERAGE(J2,J3,J4)</f>
        <v>667666.66666666663</v>
      </c>
      <c r="E13" s="2">
        <f>$F$2*C13+(1-$F$2)*D13</f>
        <v>621066.66666666674</v>
      </c>
      <c r="F13" s="2">
        <f>ABS(D13-C13)</f>
        <v>77666.666666666628</v>
      </c>
      <c r="G13" s="2">
        <f>ABS(E13-C13)</f>
        <v>31066.666666666744</v>
      </c>
    </row>
    <row r="14" spans="2:10" x14ac:dyDescent="0.25">
      <c r="B14" s="1">
        <v>46054</v>
      </c>
      <c r="C14" s="2">
        <f>Arkusz3!B3</f>
        <v>591000</v>
      </c>
      <c r="D14" s="2">
        <f>AVERAGE(J3,J4,C13)</f>
        <v>657333.33333333337</v>
      </c>
      <c r="E14" s="2">
        <f>$F$2*C14+(1-$F$2)*D14</f>
        <v>617533.33333333337</v>
      </c>
      <c r="F14" s="2">
        <f t="shared" ref="F14:F18" si="0">ABS(D14-C14)</f>
        <v>66333.333333333372</v>
      </c>
      <c r="G14" s="2">
        <f t="shared" ref="G14:G18" si="1">ABS(E14-C14)</f>
        <v>26533.333333333372</v>
      </c>
    </row>
    <row r="15" spans="2:10" x14ac:dyDescent="0.25">
      <c r="B15" s="1">
        <v>46082</v>
      </c>
      <c r="C15" s="2">
        <f>Arkusz3!B4</f>
        <v>592000</v>
      </c>
      <c r="D15" s="2">
        <f>AVERAGE(J4,C13,C14)</f>
        <v>640666.66666666663</v>
      </c>
      <c r="E15" s="2">
        <f>$F$2*C15+(1-$F$2)*D15</f>
        <v>611466.66666666663</v>
      </c>
      <c r="F15" s="2">
        <f t="shared" si="0"/>
        <v>48666.666666666628</v>
      </c>
      <c r="G15" s="2">
        <f t="shared" si="1"/>
        <v>19466.666666666628</v>
      </c>
    </row>
    <row r="16" spans="2:10" x14ac:dyDescent="0.25">
      <c r="B16" s="1">
        <v>46113</v>
      </c>
      <c r="C16" s="2">
        <f>Arkusz3!B5</f>
        <v>593000</v>
      </c>
      <c r="D16" s="2">
        <f>AVERAGE(C13,C14,C15)</f>
        <v>591000</v>
      </c>
      <c r="E16" s="2">
        <f>$F$2*C16+(1-$F$2)*D16</f>
        <v>592200</v>
      </c>
      <c r="F16">
        <f t="shared" si="0"/>
        <v>2000</v>
      </c>
      <c r="G16" s="2">
        <f t="shared" si="1"/>
        <v>800</v>
      </c>
    </row>
    <row r="17" spans="2:7" x14ac:dyDescent="0.25">
      <c r="B17" s="1">
        <v>46143</v>
      </c>
      <c r="C17" s="2">
        <f>Arkusz3!B6</f>
        <v>594000</v>
      </c>
      <c r="D17" s="2">
        <f t="shared" ref="D17:D18" si="2">AVERAGE(C14,C15,C16)</f>
        <v>592000</v>
      </c>
      <c r="E17" s="2">
        <f>$F$2*C17+(1-$F$2)*D17</f>
        <v>593200</v>
      </c>
      <c r="F17">
        <f t="shared" si="0"/>
        <v>2000</v>
      </c>
      <c r="G17" s="2">
        <f t="shared" si="1"/>
        <v>800</v>
      </c>
    </row>
    <row r="18" spans="2:7" x14ac:dyDescent="0.25">
      <c r="B18" s="1">
        <v>46174</v>
      </c>
      <c r="C18" s="2">
        <f>Arkusz3!B7</f>
        <v>595000</v>
      </c>
      <c r="D18" s="2">
        <f t="shared" si="2"/>
        <v>593000</v>
      </c>
      <c r="E18" s="2">
        <f>$F$2*C18+(1-$F$2)*D18</f>
        <v>594200</v>
      </c>
      <c r="F18">
        <f t="shared" si="0"/>
        <v>2000</v>
      </c>
      <c r="G18" s="2">
        <f t="shared" si="1"/>
        <v>800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43EBB-B434-4215-B789-A37F98CB2FD0}">
  <dimension ref="A1:B17"/>
  <sheetViews>
    <sheetView tabSelected="1" zoomScaleNormal="100" workbookViewId="0"/>
  </sheetViews>
  <sheetFormatPr defaultRowHeight="15" x14ac:dyDescent="0.25"/>
  <cols>
    <col min="1" max="1" width="60.85546875" customWidth="1"/>
  </cols>
  <sheetData>
    <row r="1" spans="1:2" ht="42.75" customHeight="1" x14ac:dyDescent="0.25">
      <c r="A1" t="s">
        <v>10</v>
      </c>
      <c r="B1" s="2">
        <f>2*SUM(Arkusz4!C13:C18)</f>
        <v>7110000</v>
      </c>
    </row>
    <row r="2" spans="1:2" ht="32.25" customHeight="1" x14ac:dyDescent="0.25">
      <c r="A2" t="s">
        <v>11</v>
      </c>
      <c r="B2">
        <v>8000</v>
      </c>
    </row>
    <row r="3" spans="1:2" ht="41.25" customHeight="1" x14ac:dyDescent="0.25">
      <c r="A3" t="s">
        <v>12</v>
      </c>
      <c r="B3">
        <v>2500</v>
      </c>
    </row>
    <row r="6" spans="1:2" x14ac:dyDescent="0.25">
      <c r="A6" t="s">
        <v>13</v>
      </c>
      <c r="B6" s="4">
        <f>SQRT((2*B1*B2)/B3)</f>
        <v>6745.6652748264942</v>
      </c>
    </row>
    <row r="9" spans="1:2" x14ac:dyDescent="0.25">
      <c r="A9" t="s">
        <v>14</v>
      </c>
      <c r="B9" s="2">
        <f>B1/365</f>
        <v>19479.452054794521</v>
      </c>
    </row>
    <row r="10" spans="1:2" x14ac:dyDescent="0.25">
      <c r="A10" t="s">
        <v>15</v>
      </c>
      <c r="B10" s="2">
        <v>15</v>
      </c>
    </row>
    <row r="13" spans="1:2" x14ac:dyDescent="0.25">
      <c r="A13" t="s">
        <v>16</v>
      </c>
      <c r="B13" s="2">
        <f>B9*B10</f>
        <v>292191.78082191781</v>
      </c>
    </row>
    <row r="15" spans="1:2" x14ac:dyDescent="0.25">
      <c r="A15" t="s">
        <v>17</v>
      </c>
      <c r="B15" s="2">
        <f>Arkusz4!C18/30</f>
        <v>19833.333333333332</v>
      </c>
    </row>
    <row r="17" spans="1:2" x14ac:dyDescent="0.25">
      <c r="A17" t="s">
        <v>18</v>
      </c>
      <c r="B17" s="2">
        <f>(B15-B9)*B10</f>
        <v>5308.2191780821631</v>
      </c>
    </row>
  </sheetData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high="1" low="1" xr2:uid="{4107C7F0-4F08-4B12-84F7-C6F00C58DCD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Arkusz5!C13:C18</xm:f>
              <xm:sqref>D26</xm:sqref>
            </x14:sparkline>
          </x14:sparklines>
        </x14:sparklineGroup>
        <x14:sparklineGroup displayEmptyCellsAs="gap" xr2:uid="{AF9EEEDC-9BB3-43A5-8D57-C6E19E698DB1}">
          <x14:colorSeries theme="3" tint="0.34998626667073579"/>
          <x14:colorNegative theme="0" tint="-0.249977111117893"/>
          <x14:colorAxis rgb="FF000000"/>
          <x14:colorMarkers theme="0" tint="-0.249977111117893"/>
          <x14:colorFirst theme="0" tint="-0.249977111117893"/>
          <x14:colorLast theme="0" tint="-0.249977111117893"/>
          <x14:colorHigh theme="0" tint="-0.249977111117893"/>
          <x14:colorLow theme="0" tint="-0.249977111117893"/>
          <x14:sparklines>
            <x14:sparkline>
              <xm:f>Arkusz5!C13:C18</xm:f>
              <xm:sqref>A26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Arkusz3</vt:lpstr>
      <vt:lpstr>Arkusz4</vt:lpstr>
      <vt:lpstr>Arkusz5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Dzikowski</dc:creator>
  <cp:lastModifiedBy>Jakub Dzikowski</cp:lastModifiedBy>
  <dcterms:created xsi:type="dcterms:W3CDTF">2026-09-05T21:53:20Z</dcterms:created>
  <dcterms:modified xsi:type="dcterms:W3CDTF">2026-09-08T13:06:12Z</dcterms:modified>
</cp:coreProperties>
</file>